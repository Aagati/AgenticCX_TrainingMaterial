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nputs" sheetId="2" state="visible" r:id="rId4"/>
    <sheet name="ROI Model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Average handle time for a human agent handling this contact type.</t>
        </r>
      </text>
    </comment>
    <comment ref="B7" authorId="0">
      <text>
        <r>
          <rPr>
            <sz val="10"/>
            <rFont val="Arial"/>
            <family val="2"/>
          </rPr>
          <t xml:space="preserve">Wages + overhead for a support agent, per hour.</t>
        </r>
      </text>
    </comment>
    <comment ref="B8" authorId="0">
      <text>
        <r>
          <rPr>
            <sz val="10"/>
            <rFont val="Arial"/>
            <family val="2"/>
          </rPr>
          <t xml:space="preserve">Share of contacts the CX agent resolves end-to-end, no human hand-off.</t>
        </r>
      </text>
    </comment>
    <comment ref="B9" authorId="0">
      <text>
        <r>
          <rPr>
            <sz val="10"/>
            <rFont val="Arial"/>
            <family val="2"/>
          </rPr>
          <t xml:space="preserve">Average handle time for contacts the agent resolves itself.</t>
        </r>
      </text>
    </comment>
    <comment ref="B10" authorId="0">
      <text>
        <r>
          <rPr>
            <sz val="10"/>
            <rFont val="Arial"/>
            <family val="2"/>
          </rPr>
          <t xml:space="preserve">Blended compute + tooling cost per contact the agent handles.</t>
        </r>
      </text>
    </comment>
    <comment ref="B11" authorId="0">
      <text>
        <r>
          <rPr>
            <sz val="10"/>
            <rFont val="Arial"/>
            <family val="2"/>
          </rPr>
          <t xml:space="preserve">Out of 5.</t>
        </r>
      </text>
    </comment>
    <comment ref="B12" authorId="0">
      <text>
        <r>
          <rPr>
            <sz val="10"/>
            <rFont val="Arial"/>
            <family val="2"/>
          </rPr>
          <t xml:space="preserve">Out of 5 — measured post-launch.</t>
        </r>
      </text>
    </comment>
    <comment ref="B13" authorId="0">
      <text>
        <r>
          <rPr>
            <sz val="10"/>
            <rFont val="Arial"/>
            <family val="2"/>
          </rPr>
          <t xml:space="preserve">Business-agreed quality guardrail — see Day 5, Topic 4.</t>
        </r>
      </text>
    </comment>
  </commentList>
</comments>
</file>

<file path=xl/sharedStrings.xml><?xml version="1.0" encoding="utf-8"?>
<sst xmlns="http://schemas.openxmlformats.org/spreadsheetml/2006/main" count="44" uniqueCount="44">
  <si>
    <t xml:space="preserve">Day 5 · Pre-Lunch Lab H3 (Retail) — CX ROI Model</t>
  </si>
  <si>
    <t xml:space="preserve">OBJECTIVE</t>
  </si>
  <si>
    <t xml:space="preserve">Compute a CX ROI model for a retail support agent (order status, returns, delivery issues) using resolution rate, average handle time (AHT) and CSAT — the numbers a business sponsor would ask for.</t>
  </si>
  <si>
    <t xml:space="preserve">HOW THIS WORKBOOK IS ORGANISED</t>
  </si>
  <si>
    <t xml:space="preserve">  - 'Inputs' — the given baseline (pre-agent) and agent-performance data. Blue text on a light-teal fill = given data, do not change it.</t>
  </si>
  <si>
    <t xml:space="preserve">  - 'ROI Model' — where you build the calculation. Cells shaded yellow are for YOU to fill in with a formula that references the Inputs sheet — never hardcode a number.</t>
  </si>
  <si>
    <t xml:space="preserve">  - 'Summary' — the one-paragraph business case, auto-populated from your formulas.</t>
  </si>
  <si>
    <t xml:space="preserve">RULES</t>
  </si>
  <si>
    <t xml:space="preserve">  1. Every calculated cell must be a formula, not a typed-in number — so the model updates if the inputs change.</t>
  </si>
  <si>
    <t xml:space="preserve">  2. Reference cells on the Inputs sheet by name (e.g. =Inputs!B5), don't retype values.</t>
  </si>
  <si>
    <t xml:space="preserve">  3. The business case is only valid if CSAT stays at or above the floor — check the PASS/FAIL cell before you trust the savings number.</t>
  </si>
  <si>
    <t xml:space="preserve">WHAT 'DONE' LOOKS LIKE</t>
  </si>
  <si>
    <t xml:space="preserve">A completed 'ROI Model' sheet with no yellow cells left blank, and a 'Summary' sheet that reads as a short business case a retail operations sponsor could act on.</t>
  </si>
  <si>
    <t xml:space="preserve">STRETCH GOAL (optional)</t>
  </si>
  <si>
    <t xml:space="preserve">Add a sensitivity check: what resolution rate would be needed to break even if the agent's build &amp; run cost doubled?</t>
  </si>
  <si>
    <t xml:space="preserve">Given Data — Retail CX ROI Model</t>
  </si>
  <si>
    <t xml:space="preserve">Baseline scenario: order-status, returns and delivery-issue contacts.</t>
  </si>
  <si>
    <t xml:space="preserve">Metric</t>
  </si>
  <si>
    <t xml:space="preserve">Value</t>
  </si>
  <si>
    <t xml:space="preserve">Monthly contact volume (all channels)</t>
  </si>
  <si>
    <t xml:space="preserve">Human-handled AHT (minutes)</t>
  </si>
  <si>
    <t xml:space="preserve">Fully-loaded human cost per hour</t>
  </si>
  <si>
    <t xml:space="preserve">Agent resolution rate</t>
  </si>
  <si>
    <t xml:space="preserve">Agent-handled AHT (minutes)</t>
  </si>
  <si>
    <t xml:space="preserve">Agent cost per contact (tokens + infra)</t>
  </si>
  <si>
    <t xml:space="preserve">Baseline CSAT (human-only)</t>
  </si>
  <si>
    <t xml:space="preserve">CSAT with agent live</t>
  </si>
  <si>
    <t xml:space="preserve">CSAT floor (minimum acceptable)</t>
  </si>
  <si>
    <t xml:space="preserve">ROI Model</t>
  </si>
  <si>
    <t xml:space="preserve">Yellow cells = build the formula yourself, referencing the Inputs sheet.</t>
  </si>
  <si>
    <t xml:space="preserve">Calculation</t>
  </si>
  <si>
    <t xml:space="preserve">Result</t>
  </si>
  <si>
    <t xml:space="preserve">Formula guidance (delete once filled in)</t>
  </si>
  <si>
    <t xml:space="preserve">Human cost per contact</t>
  </si>
  <si>
    <t xml:space="preserve">Contacts resolved by agent</t>
  </si>
  <si>
    <t xml:space="preserve">Contacts still needing a human</t>
  </si>
  <si>
    <t xml:space="preserve">Cost if 100% human-handled (baseline)</t>
  </si>
  <si>
    <t xml:space="preserve">Blended cost with agent live</t>
  </si>
  <si>
    <t xml:space="preserve">Monthly savings</t>
  </si>
  <si>
    <t xml:space="preserve">Blended cost per contact (post-agent)</t>
  </si>
  <si>
    <t xml:space="preserve">CSAT floor check</t>
  </si>
  <si>
    <t xml:space="preserve">Annualised savings</t>
  </si>
  <si>
    <t xml:space="preserve">Business Case Summary</t>
  </si>
  <si>
    <t xml:space="preserve">Auto-generated from the ROI Model sheet — do not edit by hand.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</si>
</sst>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"/>
    <numFmt numFmtId="167" formatCode="\$#,##0"/>
    <numFmt numFmtId="168" formatCode="0.0%"/>
    <numFmt numFmtId="169" formatCode="\$#,##0.00"/>
    <numFmt numFmtId="170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33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5B6B8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16233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33F"/>
        <bgColor rgb="FF003366"/>
      </patternFill>
    </fill>
    <fill>
      <patternFill patternType="solid">
        <fgColor rgb="FFE8F1F3"/>
        <bgColor rgb="FFDCE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1F3"/>
      <rgbColor rgb="FF660066"/>
      <rgbColor rgb="FFFF8080"/>
      <rgbColor rgb="FF0066CC"/>
      <rgbColor rgb="FFDC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8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26.85" hidden="false" customHeight="false" outlineLevel="0" collapsed="false">
      <c r="A7" s="2" t="s">
        <v>4</v>
      </c>
    </row>
    <row r="8" customFormat="false" ht="26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26.8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26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26.8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13</v>
      </c>
    </row>
    <row r="20" customFormat="false" ht="26.85" hidden="false" customHeight="false" outlineLevel="0" collapsed="false">
      <c r="A2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4" customFormat="false" ht="15" hidden="false" customHeight="false" outlineLevel="0" collapsed="false">
      <c r="A4" s="5" t="s">
        <v>17</v>
      </c>
      <c r="B4" s="5" t="s">
        <v>18</v>
      </c>
    </row>
    <row r="5" customFormat="false" ht="15" hidden="false" customHeight="false" outlineLevel="0" collapsed="false">
      <c r="A5" s="6" t="s">
        <v>19</v>
      </c>
      <c r="B5" s="7" t="n">
        <v>20000</v>
      </c>
    </row>
    <row r="6" customFormat="false" ht="15" hidden="false" customHeight="false" outlineLevel="0" collapsed="false">
      <c r="A6" s="6" t="s">
        <v>20</v>
      </c>
      <c r="B6" s="8" t="n">
        <v>9.5</v>
      </c>
    </row>
    <row r="7" customFormat="false" ht="15" hidden="false" customHeight="false" outlineLevel="0" collapsed="false">
      <c r="A7" s="6" t="s">
        <v>21</v>
      </c>
      <c r="B7" s="9" t="n">
        <v>28</v>
      </c>
    </row>
    <row r="8" customFormat="false" ht="15" hidden="false" customHeight="false" outlineLevel="0" collapsed="false">
      <c r="A8" s="6" t="s">
        <v>22</v>
      </c>
      <c r="B8" s="10" t="n">
        <v>0.72</v>
      </c>
    </row>
    <row r="9" customFormat="false" ht="15" hidden="false" customHeight="false" outlineLevel="0" collapsed="false">
      <c r="A9" s="6" t="s">
        <v>23</v>
      </c>
      <c r="B9" s="8" t="n">
        <v>3.2</v>
      </c>
    </row>
    <row r="10" customFormat="false" ht="15" hidden="false" customHeight="false" outlineLevel="0" collapsed="false">
      <c r="A10" s="6" t="s">
        <v>24</v>
      </c>
      <c r="B10" s="11" t="n">
        <v>0.35</v>
      </c>
    </row>
    <row r="11" customFormat="false" ht="15" hidden="false" customHeight="false" outlineLevel="0" collapsed="false">
      <c r="A11" s="6" t="s">
        <v>25</v>
      </c>
      <c r="B11" s="12" t="n">
        <v>4.2</v>
      </c>
    </row>
    <row r="12" customFormat="false" ht="15" hidden="false" customHeight="false" outlineLevel="0" collapsed="false">
      <c r="A12" s="6" t="s">
        <v>26</v>
      </c>
      <c r="B12" s="12" t="n">
        <v>4.1</v>
      </c>
    </row>
    <row r="13" customFormat="false" ht="15" hidden="false" customHeight="false" outlineLevel="0" collapsed="false">
      <c r="A13" s="6" t="s">
        <v>27</v>
      </c>
      <c r="B13" s="1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5" min="4" style="0" width="4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4" t="s">
        <v>29</v>
      </c>
    </row>
    <row r="4" customFormat="false" ht="15" hidden="false" customHeight="false" outlineLevel="0" collapsed="false">
      <c r="A4" s="5" t="s">
        <v>30</v>
      </c>
      <c r="B4" s="5" t="s">
        <v>31</v>
      </c>
      <c r="C4" s="5" t="s">
        <v>32</v>
      </c>
    </row>
    <row r="5" customFormat="false" ht="15" hidden="false" customHeight="false" outlineLevel="0" collapsed="false">
      <c r="A5" s="6" t="s">
        <v>33</v>
      </c>
      <c r="B5" s="13" t="n">
        <f aca="false">(Inputs!B6/60)*Inputs!B7</f>
        <v>4.43333333333333</v>
      </c>
      <c r="C5" s="14"/>
    </row>
    <row r="6" customFormat="false" ht="15" hidden="false" customHeight="false" outlineLevel="0" collapsed="false">
      <c r="A6" s="6" t="s">
        <v>34</v>
      </c>
      <c r="B6" s="15" t="n">
        <f aca="false">Inputs!B5*Inputs!B8</f>
        <v>14400</v>
      </c>
      <c r="C6" s="14"/>
    </row>
    <row r="7" customFormat="false" ht="15" hidden="false" customHeight="false" outlineLevel="0" collapsed="false">
      <c r="A7" s="6" t="s">
        <v>35</v>
      </c>
      <c r="B7" s="15" t="n">
        <f aca="false">Inputs!B5-B6</f>
        <v>5600</v>
      </c>
      <c r="C7" s="14"/>
    </row>
    <row r="8" customFormat="false" ht="15" hidden="false" customHeight="false" outlineLevel="0" collapsed="false">
      <c r="A8" s="6" t="s">
        <v>36</v>
      </c>
      <c r="B8" s="16" t="n">
        <f aca="false">Inputs!B5*B5</f>
        <v>88666.6666666667</v>
      </c>
      <c r="C8" s="14"/>
    </row>
    <row r="9" customFormat="false" ht="15" hidden="false" customHeight="false" outlineLevel="0" collapsed="false">
      <c r="A9" s="6" t="s">
        <v>37</v>
      </c>
      <c r="B9" s="16" t="n">
        <f aca="false">(B6*Inputs!B10)+(B7*B5)</f>
        <v>29866.6666666667</v>
      </c>
      <c r="C9" s="14"/>
    </row>
    <row r="10" customFormat="false" ht="15" hidden="false" customHeight="false" outlineLevel="0" collapsed="false">
      <c r="A10" s="6" t="s">
        <v>38</v>
      </c>
      <c r="B10" s="16" t="n">
        <f aca="false">B8-B9</f>
        <v>58800</v>
      </c>
      <c r="C10" s="14"/>
    </row>
    <row r="11" customFormat="false" ht="15" hidden="false" customHeight="false" outlineLevel="0" collapsed="false">
      <c r="A11" s="6" t="s">
        <v>39</v>
      </c>
      <c r="B11" s="13" t="n">
        <f aca="false">B9/Inputs!B5</f>
        <v>1.49333333333333</v>
      </c>
      <c r="C11" s="14"/>
    </row>
    <row r="12" customFormat="false" ht="15" hidden="false" customHeight="false" outlineLevel="0" collapsed="false">
      <c r="A12" s="6" t="s">
        <v>40</v>
      </c>
      <c r="B12" s="17" t="str">
        <f aca="false">IF(Inputs!B12&gt;=Inputs!B13,"PASS","FAIL")</f>
        <v>PASS</v>
      </c>
      <c r="C12" s="14"/>
    </row>
    <row r="13" customFormat="false" ht="15" hidden="false" customHeight="false" outlineLevel="0" collapsed="false">
      <c r="A13" s="6" t="s">
        <v>41</v>
      </c>
      <c r="B13" s="16" t="n">
        <f aca="false">B10*12</f>
        <v>705600</v>
      </c>
      <c r="C13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42</v>
      </c>
    </row>
    <row r="3" customFormat="false" ht="15" hidden="false" customHeight="false" outlineLevel="0" collapsed="false">
      <c r="A3" s="4" t="s">
        <v>43</v>
      </c>
    </row>
    <row r="5" customFormat="false" ht="60" hidden="false" customHeight="true" outlineLevel="0" collapsed="false">
      <c r="A5" s="18" t="str">
        <f aca="false">"At current volume, the CX agent resolves "&amp;TEXT(Inputs!B8,"0%")&amp;" of contacts, saving an estimated $"&amp;TEXT('ROI Model'!B10,"#,##0")&amp;" per month ($"&amp;TEXT('ROI Model'!B13,"#,##0")&amp;" annualised), while CSAT is "&amp;'ROI Model'!B12&amp;" against the quality floor."</f>
        <v>At current volume, the CX agent resolves 72% of contacts, saving an estimated $58,800 per month ($705,600 annualised), while CSAT is PASS against the quality floor.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2026-07-21T14:15:21Z</dcterms:created>
  <dc:creator>openpyxl</dc:creator>
  <dc:description/>
  <dc:language>en-US</dc:language>
  <cp:lastModifiedBy/>
  <dcterms:modified xsi:type="dcterms:W3CDTF">2026-07-21T14:15:21Z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